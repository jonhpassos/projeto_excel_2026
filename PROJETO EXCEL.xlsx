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8B625D2B-AA0A-4408-AF14-3F351B5E0A5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2" sheetId="2" r:id="rId1"/>
  </sheets>
  <definedNames>
    <definedName name="_xlnm._FilterDatabase" localSheetId="0" hidden="1">Planilha2!$E$31:$L$33</definedName>
    <definedName name="dividendos_mensais">Planilha2!$L$20:$L$20</definedName>
    <definedName name="investimento_mensal">Planilha2!$L$16:$L$16</definedName>
    <definedName name="patrimônio_acumulado">Planilha2!$L$19:$L$19</definedName>
    <definedName name="rendimento_de_carteira">Planilha2!$E$10:$K$10</definedName>
    <definedName name="salario">Planilha2!$E$9:$K$9</definedName>
    <definedName name="sugestão_de_investimento">Planilha2!$L$11:$L$11</definedName>
    <definedName name="taxa_de_rendimento_mensal">Planilha2!$L$18:$L$18</definedName>
    <definedName name="tempo_de_investimento">Planilha2!$L$17:$L$17</definedName>
    <definedName name="valor_do_salario">Planilha2!$L$9:$L$9</definedName>
    <definedName name="valor_rendimento_de_carteira">Planilha2!$L$10:$L$10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2" l="1"/>
  <c r="I44" i="2"/>
  <c r="I45" i="2"/>
  <c r="I46" i="2"/>
  <c r="I49" i="2"/>
  <c r="I50" i="2"/>
  <c r="I51" i="2"/>
  <c r="I53" i="2"/>
  <c r="I60" i="2"/>
  <c r="I59" i="2"/>
  <c r="I58" i="2"/>
  <c r="I57" i="2"/>
  <c r="I56" i="2"/>
  <c r="I55" i="2"/>
  <c r="I54" i="2"/>
  <c r="K36" i="2"/>
  <c r="K33" i="2"/>
  <c r="K34" i="2"/>
  <c r="K35" i="2"/>
  <c r="L11" i="2"/>
  <c r="L19" i="2"/>
  <c r="L20" i="2"/>
  <c r="K23" i="2"/>
  <c r="L23" i="2" s="1"/>
  <c r="K25" i="2"/>
  <c r="L25" i="2" s="1"/>
  <c r="K26" i="2"/>
  <c r="L26" i="2" s="1"/>
  <c r="K27" i="2"/>
  <c r="L27" i="2" s="1"/>
  <c r="K28" i="2"/>
  <c r="L28" i="2" s="1"/>
  <c r="K24" i="2"/>
  <c r="L24" i="2" s="1"/>
  <c r="L37" i="2" l="1"/>
  <c r="G37" i="2" s="1"/>
</calcChain>
</file>

<file path=xl/sharedStrings.xml><?xml version="1.0" encoding="utf-8"?>
<sst xmlns="http://schemas.openxmlformats.org/spreadsheetml/2006/main" count="73" uniqueCount="46">
  <si>
    <t>FII SIMULADOR ALPHA</t>
  </si>
  <si>
    <t>CONFIGURAÇÕES</t>
  </si>
  <si>
    <t>salário</t>
  </si>
  <si>
    <t>rendimento de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</si>
  <si>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</si>
  <si>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</si>
  <si>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</si>
  <si>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</si>
  <si>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</si>
  <si>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</si>
  <si>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</si>
  <si>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>cenários</t>
  </si>
  <si>
    <t>Patrimônio</t>
  </si>
  <si>
    <t>Dividendo</t>
  </si>
  <si>
    <t>Quanto em 1 Ano ?</t>
  </si>
  <si>
    <t>Quanto em 2 Anos ?</t>
  </si>
  <si>
    <t>Quanto em 3 Anos ?</t>
  </si>
  <si>
    <t>Quanto em 5 Anos ?</t>
  </si>
  <si>
    <t>Quanto em 10 Anos ?</t>
  </si>
  <si>
    <t>Quanto em 20 Anos ?</t>
  </si>
  <si>
    <t>mapeamento de perfil</t>
  </si>
  <si>
    <t xml:space="preserve"> Qual a sua tolerância à permaner com investimento?</t>
  </si>
  <si>
    <t>aceito cair 10%</t>
  </si>
  <si>
    <t>Qual o foco principal?</t>
  </si>
  <si>
    <t>3 ganho de Capital rápido</t>
  </si>
  <si>
    <t>Qual a preferência de ativo?</t>
  </si>
  <si>
    <t>2 Híbridos</t>
  </si>
  <si>
    <t>Tempo de investimento</t>
  </si>
  <si>
    <t>Menos de 2 anos</t>
  </si>
  <si>
    <t>Perfil como:</t>
  </si>
  <si>
    <t>CLIQUE ACIMA PARA RESPONDER!</t>
  </si>
  <si>
    <t>TOTAL:</t>
  </si>
  <si>
    <t>SUGESTÔES DE INVESTIMENTO BASEADO NO PERFIL</t>
  </si>
  <si>
    <t>VALOR DA APLICAÇÃO</t>
  </si>
  <si>
    <t>PERFIL</t>
  </si>
  <si>
    <t>TIPO DE FII</t>
  </si>
  <si>
    <t>%</t>
  </si>
  <si>
    <t>Conservador</t>
  </si>
  <si>
    <t>PAPEL</t>
  </si>
  <si>
    <t>TIJOLO</t>
  </si>
  <si>
    <t>HÍBRIDOS</t>
  </si>
  <si>
    <t>FOFs</t>
  </si>
  <si>
    <t>DESENVOLVIMENTO</t>
  </si>
  <si>
    <t>HOTELARIAS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</si>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</sst>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&quot;R$&quot;\ #,##0.00"/>
    <numFmt numFmtId="165" formatCode="[$R$-416]\ #,##0.00"/>
    <numFmt numFmtId="166" formatCode="[$R$-416]\ #,##0"/>
  </numFmts>
  <fonts count="17">
    <font>
      <sz val="11"/>
      <color theme="1"/>
      <name val="Calibri"/>
      <family val="2"/>
      <scheme val="minor"/>
    </font>
    <font>
      <b/>
      <sz val="15"/>
      <color theme="3"/>
      <name val="Calibri"/>
      <scheme val="minor"/>
    </font>
    <font>
      <b/>
      <sz val="15"/>
      <color theme="1"/>
      <name val="Calibri"/>
      <scheme val="minor"/>
    </font>
    <font>
      <b/>
      <sz val="11"/>
      <color theme="1"/>
      <name val="Segoe UI"/>
    </font>
    <font>
      <b/>
      <sz val="26"/>
      <color theme="1"/>
      <name val="Calibri"/>
    </font>
    <font>
      <b/>
      <sz val="28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sz val="11"/>
      <color theme="0"/>
      <name val="Calibri"/>
      <family val="2"/>
      <scheme val="minor"/>
    </font>
    <font>
      <sz val="12"/>
      <color theme="1"/>
      <name val="Book Antiqua"/>
    </font>
    <font>
      <sz val="11"/>
      <color theme="1"/>
      <name val="Book Antiqua"/>
    </font>
    <font>
      <b/>
      <sz val="48"/>
      <color rgb="FF000000"/>
      <name val="Garamond"/>
    </font>
    <font>
      <b/>
      <sz val="48"/>
      <color theme="1"/>
      <name val="Garamond"/>
    </font>
    <font>
      <b/>
      <sz val="28"/>
      <color theme="1"/>
      <name val="Garamond"/>
    </font>
    <font>
      <sz val="12"/>
      <color theme="1" tint="4.9989318521683403E-2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Garamond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dotted">
        <color theme="0" tint="-0.14999847407452621"/>
      </right>
      <top style="dotted">
        <color theme="0" tint="-0.14999847407452621"/>
      </top>
      <bottom style="dotted">
        <color theme="0" tint="-0.14999847407452621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14999847407452621"/>
      </right>
      <top/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34998626667073579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/>
      <top style="thin">
        <color theme="0" tint="-0.34998626667073579"/>
      </top>
      <bottom/>
      <diagonal/>
    </border>
    <border>
      <left style="thin">
        <color theme="0" tint="-0.1499984740745262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 tint="0.499984740745262"/>
      </top>
      <bottom style="thin">
        <color theme="0" tint="-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499984740745262"/>
      </left>
      <right style="thin">
        <color theme="1" tint="0.34998626667073579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499984740745262"/>
      </left>
      <right style="thin">
        <color theme="1" tint="0.34998626667073579"/>
      </right>
      <top style="thin">
        <color theme="1" tint="0.499984740745262"/>
      </top>
      <bottom/>
      <diagonal/>
    </border>
    <border>
      <left style="thin">
        <color theme="1" tint="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4">
    <xf numFmtId="0" fontId="0" fillId="0" borderId="0" xfId="0"/>
    <xf numFmtId="0" fontId="0" fillId="0" borderId="0" xfId="0" applyAlignment="1">
      <alignment horizontal="left"/>
    </xf>
    <xf numFmtId="0" fontId="2" fillId="0" borderId="0" xfId="1" applyFont="1" applyFill="1" applyBorder="1" applyAlignment="1">
      <alignment horizontal="center"/>
    </xf>
    <xf numFmtId="0" fontId="0" fillId="0" borderId="0" xfId="0" applyAlignment="1"/>
    <xf numFmtId="0" fontId="0" fillId="0" borderId="3" xfId="0" applyBorder="1"/>
    <xf numFmtId="0" fontId="4" fillId="0" borderId="0" xfId="0" applyFont="1" applyFill="1" applyBorder="1" applyAlignment="1">
      <alignment horizontal="center"/>
    </xf>
    <xf numFmtId="0" fontId="5" fillId="0" borderId="0" xfId="1" applyFont="1" applyFill="1" applyBorder="1" applyAlignment="1"/>
    <xf numFmtId="0" fontId="0" fillId="0" borderId="0" xfId="0" applyFill="1"/>
    <xf numFmtId="0" fontId="6" fillId="0" borderId="0" xfId="1" applyFont="1" applyFill="1" applyBorder="1" applyAlignment="1"/>
    <xf numFmtId="0" fontId="8" fillId="0" borderId="0" xfId="0" applyFont="1"/>
    <xf numFmtId="0" fontId="0" fillId="0" borderId="0" xfId="0" applyBorder="1"/>
    <xf numFmtId="0" fontId="9" fillId="4" borderId="18" xfId="0" applyFont="1" applyFill="1" applyBorder="1" applyAlignment="1">
      <alignment horizontal="center"/>
    </xf>
    <xf numFmtId="0" fontId="9" fillId="4" borderId="19" xfId="0" applyFont="1" applyFill="1" applyBorder="1" applyAlignment="1">
      <alignment horizontal="center"/>
    </xf>
    <xf numFmtId="10" fontId="9" fillId="4" borderId="7" xfId="0" applyNumberFormat="1" applyFont="1" applyFill="1" applyBorder="1" applyAlignment="1">
      <alignment horizontal="center"/>
    </xf>
    <xf numFmtId="164" fontId="9" fillId="5" borderId="23" xfId="0" applyNumberFormat="1" applyFont="1" applyFill="1" applyBorder="1" applyAlignment="1"/>
    <xf numFmtId="164" fontId="9" fillId="3" borderId="0" xfId="1" applyNumberFormat="1" applyFont="1" applyFill="1" applyBorder="1" applyAlignment="1">
      <alignment horizontal="left" indent="1"/>
    </xf>
    <xf numFmtId="164" fontId="9" fillId="3" borderId="0" xfId="1" applyNumberFormat="1" applyFont="1" applyFill="1" applyBorder="1" applyAlignment="1">
      <alignment horizontal="left" indent="3"/>
    </xf>
    <xf numFmtId="8" fontId="10" fillId="3" borderId="0" xfId="0" applyNumberFormat="1" applyFont="1" applyFill="1" applyAlignment="1">
      <alignment horizontal="left" indent="1"/>
    </xf>
    <xf numFmtId="8" fontId="10" fillId="3" borderId="0" xfId="0" applyNumberFormat="1" applyFont="1" applyFill="1" applyAlignment="1">
      <alignment horizontal="left" indent="3"/>
    </xf>
    <xf numFmtId="8" fontId="9" fillId="3" borderId="7" xfId="0" applyNumberFormat="1" applyFont="1" applyFill="1" applyBorder="1" applyAlignment="1">
      <alignment horizontal="left" indent="3"/>
    </xf>
    <xf numFmtId="8" fontId="9" fillId="3" borderId="2" xfId="0" applyNumberFormat="1" applyFont="1" applyFill="1" applyBorder="1" applyAlignment="1">
      <alignment horizontal="left" indent="3"/>
    </xf>
    <xf numFmtId="0" fontId="0" fillId="0" borderId="25" xfId="0" applyBorder="1" applyAlignment="1">
      <alignment wrapText="1"/>
    </xf>
    <xf numFmtId="0" fontId="0" fillId="0" borderId="24" xfId="0" applyBorder="1" applyAlignment="1">
      <alignment horizontal="left" indent="1"/>
    </xf>
    <xf numFmtId="0" fontId="0" fillId="3" borderId="24" xfId="0" applyFill="1" applyBorder="1"/>
    <xf numFmtId="164" fontId="9" fillId="4" borderId="19" xfId="0" applyNumberFormat="1" applyFont="1" applyFill="1" applyBorder="1" applyAlignment="1"/>
    <xf numFmtId="9" fontId="9" fillId="4" borderId="22" xfId="0" applyNumberFormat="1" applyFont="1" applyFill="1" applyBorder="1" applyAlignment="1"/>
    <xf numFmtId="0" fontId="0" fillId="4" borderId="34" xfId="0" applyFill="1" applyBorder="1"/>
    <xf numFmtId="0" fontId="0" fillId="4" borderId="34" xfId="0" applyFill="1" applyBorder="1" applyAlignment="1">
      <alignment horizontal="center"/>
    </xf>
    <xf numFmtId="165" fontId="0" fillId="4" borderId="34" xfId="0" applyNumberFormat="1" applyFill="1" applyBorder="1" applyAlignment="1">
      <alignment horizontal="left" indent="4"/>
    </xf>
    <xf numFmtId="166" fontId="0" fillId="4" borderId="34" xfId="0" applyNumberFormat="1" applyFill="1" applyBorder="1" applyAlignment="1">
      <alignment horizontal="left" indent="4"/>
    </xf>
    <xf numFmtId="165" fontId="0" fillId="7" borderId="34" xfId="0" applyNumberFormat="1" applyFill="1" applyBorder="1"/>
    <xf numFmtId="0" fontId="0" fillId="4" borderId="34" xfId="0" applyFill="1" applyBorder="1" applyAlignment="1">
      <alignment horizontal="left"/>
    </xf>
    <xf numFmtId="0" fontId="0" fillId="4" borderId="34" xfId="0" applyFont="1" applyFill="1" applyBorder="1" applyAlignment="1">
      <alignment horizontal="left"/>
    </xf>
    <xf numFmtId="0" fontId="8" fillId="6" borderId="34" xfId="0" applyFont="1" applyFill="1" applyBorder="1" applyAlignment="1">
      <alignment horizontal="left"/>
    </xf>
    <xf numFmtId="0" fontId="16" fillId="2" borderId="0" xfId="0" applyFont="1" applyFill="1" applyAlignment="1">
      <alignment horizontal="left"/>
    </xf>
    <xf numFmtId="0" fontId="0" fillId="4" borderId="35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3" borderId="25" xfId="0" applyFill="1" applyBorder="1" applyAlignment="1">
      <alignment horizontal="left" indent="2"/>
    </xf>
    <xf numFmtId="0" fontId="0" fillId="3" borderId="31" xfId="0" applyFill="1" applyBorder="1" applyAlignment="1">
      <alignment horizontal="center" wrapText="1"/>
    </xf>
    <xf numFmtId="0" fontId="0" fillId="3" borderId="26" xfId="0" applyFill="1" applyBorder="1" applyAlignment="1">
      <alignment horizontal="center" wrapText="1"/>
    </xf>
    <xf numFmtId="0" fontId="0" fillId="3" borderId="27" xfId="0" applyFill="1" applyBorder="1" applyAlignment="1">
      <alignment horizontal="center" wrapText="1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13" fillId="2" borderId="0" xfId="1" applyFont="1" applyFill="1" applyBorder="1" applyAlignment="1">
      <alignment horizontal="left"/>
    </xf>
    <xf numFmtId="0" fontId="0" fillId="3" borderId="25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7" fillId="2" borderId="0" xfId="1" applyFont="1" applyFill="1" applyBorder="1" applyAlignment="1">
      <alignment horizontal="center" vertical="center"/>
    </xf>
    <xf numFmtId="0" fontId="11" fillId="2" borderId="0" xfId="1" applyFont="1" applyFill="1" applyBorder="1" applyAlignment="1">
      <alignment horizontal="center" vertical="center"/>
    </xf>
    <xf numFmtId="0" fontId="12" fillId="2" borderId="0" xfId="1" applyFont="1" applyFill="1" applyBorder="1" applyAlignment="1">
      <alignment horizontal="center" vertical="center"/>
    </xf>
    <xf numFmtId="0" fontId="15" fillId="5" borderId="20" xfId="0" applyFont="1" applyFill="1" applyBorder="1" applyAlignment="1">
      <alignment horizontal="left"/>
    </xf>
    <xf numFmtId="0" fontId="15" fillId="5" borderId="21" xfId="0" applyFont="1" applyFill="1" applyBorder="1" applyAlignment="1">
      <alignment horizontal="left"/>
    </xf>
    <xf numFmtId="0" fontId="15" fillId="5" borderId="5" xfId="0" applyFont="1" applyFill="1" applyBorder="1" applyAlignment="1">
      <alignment horizontal="left"/>
    </xf>
    <xf numFmtId="0" fontId="15" fillId="5" borderId="6" xfId="0" applyFont="1" applyFill="1" applyBorder="1" applyAlignment="1">
      <alignment horizontal="left"/>
    </xf>
    <xf numFmtId="0" fontId="15" fillId="5" borderId="4" xfId="0" applyFont="1" applyFill="1" applyBorder="1" applyAlignment="1">
      <alignment horizontal="left"/>
    </xf>
    <xf numFmtId="0" fontId="15" fillId="5" borderId="0" xfId="0" applyFont="1" applyFill="1" applyBorder="1" applyAlignment="1">
      <alignment horizontal="left"/>
    </xf>
    <xf numFmtId="0" fontId="13" fillId="2" borderId="4" xfId="0" applyFont="1" applyFill="1" applyBorder="1" applyAlignment="1">
      <alignment horizontal="left"/>
    </xf>
    <xf numFmtId="0" fontId="13" fillId="2" borderId="0" xfId="0" applyFont="1" applyFill="1" applyBorder="1" applyAlignment="1">
      <alignment horizontal="left"/>
    </xf>
    <xf numFmtId="0" fontId="14" fillId="3" borderId="11" xfId="0" applyFont="1" applyFill="1" applyBorder="1" applyAlignment="1">
      <alignment horizontal="left"/>
    </xf>
    <xf numFmtId="0" fontId="14" fillId="3" borderId="12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left"/>
    </xf>
    <xf numFmtId="0" fontId="14" fillId="3" borderId="13" xfId="0" applyFont="1" applyFill="1" applyBorder="1" applyAlignment="1">
      <alignment horizontal="left"/>
    </xf>
    <xf numFmtId="0" fontId="14" fillId="3" borderId="14" xfId="0" applyFont="1" applyFill="1" applyBorder="1" applyAlignment="1">
      <alignment horizontal="left"/>
    </xf>
    <xf numFmtId="0" fontId="14" fillId="3" borderId="16" xfId="0" applyFont="1" applyFill="1" applyBorder="1" applyAlignment="1">
      <alignment horizontal="left"/>
    </xf>
    <xf numFmtId="0" fontId="14" fillId="3" borderId="8" xfId="0" applyFont="1" applyFill="1" applyBorder="1" applyAlignment="1">
      <alignment horizontal="left"/>
    </xf>
    <xf numFmtId="0" fontId="14" fillId="3" borderId="9" xfId="0" applyFont="1" applyFill="1" applyBorder="1" applyAlignment="1">
      <alignment horizontal="left"/>
    </xf>
    <xf numFmtId="0" fontId="14" fillId="3" borderId="17" xfId="0" applyFont="1" applyFill="1" applyBorder="1" applyAlignment="1">
      <alignment horizontal="left"/>
    </xf>
    <xf numFmtId="0" fontId="14" fillId="3" borderId="10" xfId="0" applyFont="1" applyFill="1" applyBorder="1" applyAlignment="1">
      <alignment horizontal="left"/>
    </xf>
  </cellXfs>
  <cellStyles count="2">
    <cellStyle name="Normal" xfId="0" builtinId="0"/>
    <cellStyle name="Título 1" xfId="1" builtinId="16"/>
  </cellStyles>
  <dxfs count="9">
    <dxf>
      <font>
        <color theme="1"/>
      </font>
      <fill>
        <patternFill patternType="solid">
          <bgColor theme="0" tint="-0.34998626667073579"/>
        </patternFill>
      </fill>
    </dxf>
    <dxf>
      <font>
        <color theme="1"/>
      </font>
      <fill>
        <patternFill patternType="solid">
          <bgColor theme="0" tint="-0.34998626667073579"/>
        </patternFill>
      </fill>
    </dxf>
    <dxf>
      <font>
        <color theme="1"/>
      </font>
      <fill>
        <patternFill patternType="solid"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57E6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MODERADO</a:t>
            </a:r>
          </a:p>
        </c:rich>
      </c:tx>
      <c:overlay val="0"/>
      <c:spPr>
        <a:solidFill>
          <a:srgbClr val="75717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8A-4312-8FDC-F797A79055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8A-4312-8FDC-F797A79055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8A-4312-8FDC-F797A79055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8A-4312-8FDC-F797A79055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E8A-4312-8FDC-F797A79055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E8A-4312-8FDC-F797A79055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Planilha2!$F$49:$H$54</c:f>
              <c:multiLvlStrCache>
                <c:ptCount val="6"/>
                <c:lvl>
                  <c:pt idx="0">
                    <c:v>PAPEL</c:v>
                  </c:pt>
                  <c:pt idx="1">
                    <c:v>TIJOLO</c:v>
                  </c:pt>
                  <c:pt idx="2">
                    <c:v>HÍBRIDOS</c:v>
                  </c:pt>
                  <c:pt idx="3">
                    <c:v>FOFs</c:v>
                  </c:pt>
                  <c:pt idx="4">
                    <c:v>DESENVOLVIMENTO</c:v>
                  </c:pt>
                  <c:pt idx="5">
                    <c:v>HOTELARIAS</c:v>
                  </c:pt>
                </c:lvl>
                <c:lvl/>
                <c:lvl>
                  <c:pt idx="0">
                    <c:v>Moderado</c:v>
                  </c:pt>
                  <c:pt idx="1">
                    <c:v>Moderado</c:v>
                  </c:pt>
                  <c:pt idx="2">
                    <c:v>Moderado</c:v>
                  </c:pt>
                  <c:pt idx="3">
                    <c:v>Moderado</c:v>
                  </c:pt>
                  <c:pt idx="4">
                    <c:v>Moderado</c:v>
                  </c:pt>
                  <c:pt idx="5">
                    <c:v>Moderado</c:v>
                  </c:pt>
                </c:lvl>
              </c:multiLvlStrCache>
            </c:multiLvlStrRef>
          </c:cat>
          <c:val>
            <c:numRef>
              <c:f>Planilha2!$I$49:$I$54</c:f>
              <c:numCache>
                <c:formatCode>[$R$-416]\ #,##0</c:formatCode>
                <c:ptCount val="6"/>
                <c:pt idx="0">
                  <c:v>160</c:v>
                </c:pt>
                <c:pt idx="1">
                  <c:v>175</c:v>
                </c:pt>
                <c:pt idx="2">
                  <c:v>40</c:v>
                </c:pt>
                <c:pt idx="3">
                  <c:v>0.05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2A-477E-BBDC-CD294A2D4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CONSERVADOR</a:t>
            </a:r>
          </a:p>
        </c:rich>
      </c:tx>
      <c:overlay val="0"/>
      <c:spPr>
        <a:solidFill>
          <a:srgbClr val="75717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D0-4C66-9B4A-3CCF97E2A6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D0-4C66-9B4A-3CCF97E2A6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D0-4C66-9B4A-3CCF97E2A6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2D0-4C66-9B4A-3CCF97E2A6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D0-4C66-9B4A-3CCF97E2A6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2D0-4C66-9B4A-3CCF97E2A6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Planilha2!$F$43:$H$48</c:f>
              <c:multiLvlStrCache>
                <c:ptCount val="6"/>
                <c:lvl>
                  <c:pt idx="0">
                    <c:v>PAPEL</c:v>
                  </c:pt>
                  <c:pt idx="1">
                    <c:v>TIJOLO</c:v>
                  </c:pt>
                  <c:pt idx="2">
                    <c:v>HÍBRIDOS</c:v>
                  </c:pt>
                  <c:pt idx="3">
                    <c:v>FOFs</c:v>
                  </c:pt>
                  <c:pt idx="4">
                    <c:v>DESENVOLVIMENTO</c:v>
                  </c:pt>
                  <c:pt idx="5">
                    <c:v>HOTELARIAS</c:v>
                  </c:pt>
                </c:lvl>
                <c:lvl/>
                <c:lvl>
                  <c:pt idx="0">
                    <c:v>Conservador</c:v>
                  </c:pt>
                  <c:pt idx="1">
                    <c:v>Conservador</c:v>
                  </c:pt>
                  <c:pt idx="2">
                    <c:v>Conservador</c:v>
                  </c:pt>
                  <c:pt idx="3">
                    <c:v>Conservador</c:v>
                  </c:pt>
                  <c:pt idx="4">
                    <c:v>Conservador</c:v>
                  </c:pt>
                  <c:pt idx="5">
                    <c:v>Conservador</c:v>
                  </c:pt>
                </c:lvl>
              </c:multiLvlStrCache>
            </c:multiLvlStrRef>
          </c:cat>
          <c:val>
            <c:numRef>
              <c:f>Planilha2!$I$43:$I$48</c:f>
              <c:numCache>
                <c:formatCode>[$R$-416]\ #,##0</c:formatCode>
                <c:ptCount val="6"/>
                <c:pt idx="0" formatCode="[$R$-416]\ #,##0.00">
                  <c:v>150</c:v>
                </c:pt>
                <c:pt idx="1">
                  <c:v>250</c:v>
                </c:pt>
                <c:pt idx="2">
                  <c:v>50</c:v>
                </c:pt>
                <c:pt idx="3">
                  <c:v>50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41-4C9D-AA9D-1162C1A7C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AGRESSIVO</a:t>
            </a:r>
          </a:p>
        </c:rich>
      </c:tx>
      <c:overlay val="0"/>
      <c:spPr>
        <a:solidFill>
          <a:srgbClr val="75717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D1-4945-8A30-164550FCE4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D1-4945-8A30-164550FCE4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D1-4945-8A30-164550FCE44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D1-4945-8A30-164550FCE44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D1-4945-8A30-164550FCE44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AD1-4945-8A30-164550FCE4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Planilha2!$F$55:$H$60</c:f>
              <c:multiLvlStrCache>
                <c:ptCount val="6"/>
                <c:lvl>
                  <c:pt idx="0">
                    <c:v>PAPEL</c:v>
                  </c:pt>
                  <c:pt idx="1">
                    <c:v>TIJOLO</c:v>
                  </c:pt>
                  <c:pt idx="2">
                    <c:v>HÍBRIDOS</c:v>
                  </c:pt>
                  <c:pt idx="3">
                    <c:v>FOFs</c:v>
                  </c:pt>
                  <c:pt idx="4">
                    <c:v>DESENVOLVIMENTO</c:v>
                  </c:pt>
                  <c:pt idx="5">
                    <c:v>HOTELARIAS</c:v>
                  </c:pt>
                </c:lvl>
                <c:lvl/>
                <c:lvl>
                  <c:pt idx="0">
                    <c:v>Agressivo</c:v>
                  </c:pt>
                  <c:pt idx="1">
                    <c:v>Agressivo</c:v>
                  </c:pt>
                  <c:pt idx="2">
                    <c:v>Agressivo</c:v>
                  </c:pt>
                  <c:pt idx="3">
                    <c:v>Agressivo</c:v>
                  </c:pt>
                  <c:pt idx="4">
                    <c:v>Agressivo</c:v>
                  </c:pt>
                  <c:pt idx="5">
                    <c:v>Agressivo</c:v>
                  </c:pt>
                </c:lvl>
              </c:multiLvlStrCache>
            </c:multiLvlStrRef>
          </c:cat>
          <c:val>
            <c:numRef>
              <c:f>Planilha2!$I$55:$I$60</c:f>
              <c:numCache>
                <c:formatCode>[$R$-416]\ #,##0</c:formatCode>
                <c:ptCount val="6"/>
                <c:pt idx="0">
                  <c:v>250</c:v>
                </c:pt>
                <c:pt idx="1">
                  <c:v>50</c:v>
                </c:pt>
                <c:pt idx="2">
                  <c:v>25</c:v>
                </c:pt>
                <c:pt idx="3">
                  <c:v>25</c:v>
                </c:pt>
                <c:pt idx="4">
                  <c:v>100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99-4CC2-ABAE-2E011B01B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76</xdr:row>
      <xdr:rowOff>38100</xdr:rowOff>
    </xdr:from>
    <xdr:to>
      <xdr:col>8</xdr:col>
      <xdr:colOff>1114425</xdr:colOff>
      <xdr:row>92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39A2122-BCD1-CADA-D2CD-9C24A425E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</xdr:colOff>
      <xdr:row>60</xdr:row>
      <xdr:rowOff>114300</xdr:rowOff>
    </xdr:from>
    <xdr:to>
      <xdr:col>8</xdr:col>
      <xdr:colOff>1114425</xdr:colOff>
      <xdr:row>76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F2C1FC-126D-1D24-2270-A8A75CF3C58B}"/>
            </a:ext>
            <a:ext uri="{147F2762-F138-4A5C-976F-8EAC2B608ADB}">
              <a16:predDERef xmlns:a16="http://schemas.microsoft.com/office/drawing/2014/main" pred="{939A2122-BCD1-CADA-D2CD-9C24A425E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57150</xdr:colOff>
      <xdr:row>92</xdr:row>
      <xdr:rowOff>0</xdr:rowOff>
    </xdr:from>
    <xdr:to>
      <xdr:col>8</xdr:col>
      <xdr:colOff>1095375</xdr:colOff>
      <xdr:row>107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E17190-DC86-190C-BCC2-B74B85FFD723}"/>
            </a:ext>
            <a:ext uri="{147F2762-F138-4A5C-976F-8EAC2B608ADB}">
              <a16:predDERef xmlns:a16="http://schemas.microsoft.com/office/drawing/2014/main" pred="{1CF2C1FC-126D-1D24-2270-A8A75CF3C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7D1F-ED90-46E7-B598-B2150BE0859D}">
  <dimension ref="D3:S60"/>
  <sheetViews>
    <sheetView showGridLines="0" showRowColHeaders="0" tabSelected="1" topLeftCell="A11" workbookViewId="0">
      <selection activeCell="A68" sqref="A68"/>
    </sheetView>
  </sheetViews>
  <sheetFormatPr defaultRowHeight="15"/>
  <cols>
    <col min="5" max="5" width="0.28515625" customWidth="1"/>
    <col min="6" max="6" width="14.5703125" customWidth="1"/>
    <col min="7" max="7" width="37.85546875" customWidth="1"/>
    <col min="8" max="8" width="18.7109375" customWidth="1"/>
    <col min="9" max="9" width="17" customWidth="1"/>
    <col min="10" max="10" width="13.7109375" customWidth="1"/>
    <col min="11" max="11" width="15" bestFit="1" customWidth="1"/>
    <col min="12" max="12" width="20" customWidth="1"/>
  </cols>
  <sheetData>
    <row r="3" spans="5:13" ht="33.75" customHeight="1">
      <c r="E3" s="54" t="s">
        <v>0</v>
      </c>
      <c r="F3" s="55"/>
      <c r="G3" s="55"/>
      <c r="H3" s="55"/>
      <c r="I3" s="55"/>
      <c r="J3" s="55"/>
      <c r="K3" s="55"/>
      <c r="L3" s="55"/>
    </row>
    <row r="4" spans="5:13">
      <c r="E4" s="55"/>
      <c r="F4" s="55"/>
      <c r="G4" s="55"/>
      <c r="H4" s="55"/>
      <c r="I4" s="55"/>
      <c r="J4" s="55"/>
      <c r="K4" s="55"/>
      <c r="L4" s="55"/>
    </row>
    <row r="7" spans="5:13">
      <c r="E7" s="3"/>
      <c r="F7" s="3"/>
      <c r="G7" s="3"/>
      <c r="H7" s="3"/>
      <c r="I7" s="3"/>
      <c r="J7" s="3"/>
      <c r="K7" s="3"/>
      <c r="L7" s="3"/>
    </row>
    <row r="8" spans="5:13" ht="36">
      <c r="E8" s="62" t="s">
        <v>1</v>
      </c>
      <c r="F8" s="63"/>
      <c r="G8" s="63"/>
      <c r="H8" s="63"/>
      <c r="I8" s="63"/>
      <c r="J8" s="63"/>
      <c r="K8" s="63"/>
      <c r="L8" s="63"/>
      <c r="M8" s="5"/>
    </row>
    <row r="9" spans="5:13" ht="15.75">
      <c r="E9" s="56" t="s">
        <v>2</v>
      </c>
      <c r="F9" s="57"/>
      <c r="G9" s="57"/>
      <c r="H9" s="57"/>
      <c r="I9" s="57"/>
      <c r="J9" s="57"/>
      <c r="K9" s="57"/>
      <c r="L9" s="24">
        <v>2500</v>
      </c>
    </row>
    <row r="10" spans="5:13" ht="15.75">
      <c r="E10" s="58" t="s">
        <v>3</v>
      </c>
      <c r="F10" s="59"/>
      <c r="G10" s="59"/>
      <c r="H10" s="59"/>
      <c r="I10" s="59"/>
      <c r="J10" s="59"/>
      <c r="K10" s="59"/>
      <c r="L10" s="25">
        <v>1.2E-2</v>
      </c>
    </row>
    <row r="11" spans="5:13" ht="15.75">
      <c r="E11" s="60" t="s">
        <v>4</v>
      </c>
      <c r="F11" s="61"/>
      <c r="G11" s="61"/>
      <c r="H11" s="61"/>
      <c r="I11" s="61"/>
      <c r="J11" s="61"/>
      <c r="K11" s="61"/>
      <c r="L11" s="14">
        <f>L9*30%</f>
        <v>750</v>
      </c>
    </row>
    <row r="13" spans="5:13">
      <c r="K13" s="4"/>
    </row>
    <row r="14" spans="5:13" ht="15" customHeight="1">
      <c r="E14" s="48" t="s">
        <v>5</v>
      </c>
      <c r="F14" s="48"/>
      <c r="G14" s="48"/>
      <c r="H14" s="48"/>
      <c r="I14" s="48"/>
      <c r="J14" s="48"/>
      <c r="K14" s="48"/>
      <c r="L14" s="48"/>
    </row>
    <row r="15" spans="5:13" ht="19.5" customHeight="1">
      <c r="E15" s="48"/>
      <c r="F15" s="48"/>
      <c r="G15" s="48"/>
      <c r="H15" s="48"/>
      <c r="I15" s="48"/>
      <c r="J15" s="48"/>
      <c r="K15" s="48"/>
      <c r="L15" s="48"/>
    </row>
    <row r="16" spans="5:13" ht="15.75">
      <c r="E16" s="64" t="s">
        <v>6</v>
      </c>
      <c r="F16" s="65"/>
      <c r="G16" s="65"/>
      <c r="H16" s="65"/>
      <c r="I16" s="65"/>
      <c r="J16" s="65"/>
      <c r="K16" s="66"/>
      <c r="L16" s="12">
        <v>100</v>
      </c>
    </row>
    <row r="17" spans="4:19" ht="15.75">
      <c r="E17" s="67" t="s">
        <v>7</v>
      </c>
      <c r="F17" s="68"/>
      <c r="G17" s="68"/>
      <c r="H17" s="68"/>
      <c r="I17" s="68"/>
      <c r="J17" s="68"/>
      <c r="K17" s="69"/>
      <c r="L17" s="11">
        <v>5</v>
      </c>
      <c r="N17" s="10"/>
    </row>
    <row r="18" spans="4:19" ht="15.75">
      <c r="E18" s="70" t="s">
        <v>8</v>
      </c>
      <c r="F18" s="71"/>
      <c r="G18" s="71"/>
      <c r="H18" s="71"/>
      <c r="I18" s="71"/>
      <c r="J18" s="71"/>
      <c r="K18" s="72"/>
      <c r="L18" s="13">
        <v>1.2E-2</v>
      </c>
    </row>
    <row r="19" spans="4:19" ht="15.75">
      <c r="E19" s="70" t="s">
        <v>9</v>
      </c>
      <c r="F19" s="71"/>
      <c r="G19" s="71"/>
      <c r="H19" s="71"/>
      <c r="I19" s="71"/>
      <c r="J19" s="71"/>
      <c r="K19" s="72"/>
      <c r="L19" s="19">
        <f>FV(L18,L17*12,L16*-1)</f>
        <v>8713.727233874235</v>
      </c>
    </row>
    <row r="20" spans="4:19" ht="15.75">
      <c r="E20" s="70" t="s">
        <v>10</v>
      </c>
      <c r="F20" s="71"/>
      <c r="G20" s="71"/>
      <c r="H20" s="71"/>
      <c r="I20" s="71"/>
      <c r="J20" s="71"/>
      <c r="K20" s="73"/>
      <c r="L20" s="20">
        <f>L19*L18</f>
        <v>104.56472680649082</v>
      </c>
    </row>
    <row r="21" spans="4:19" ht="15" customHeight="1">
      <c r="E21" s="48" t="s">
        <v>11</v>
      </c>
      <c r="F21" s="48"/>
      <c r="G21" s="48"/>
      <c r="H21" s="48"/>
      <c r="I21" s="48"/>
      <c r="J21" s="48"/>
      <c r="K21" s="53" t="s">
        <v>12</v>
      </c>
      <c r="L21" s="53" t="s">
        <v>13</v>
      </c>
      <c r="M21" s="6"/>
      <c r="N21" s="6"/>
      <c r="O21" s="6"/>
      <c r="P21" s="6"/>
      <c r="Q21" s="6"/>
      <c r="R21" s="6"/>
      <c r="S21" s="7"/>
    </row>
    <row r="22" spans="4:19" ht="15" customHeight="1">
      <c r="E22" s="48"/>
      <c r="F22" s="48"/>
      <c r="G22" s="48"/>
      <c r="H22" s="48"/>
      <c r="I22" s="48"/>
      <c r="J22" s="48"/>
      <c r="K22" s="53"/>
      <c r="L22" s="53"/>
      <c r="M22" s="8"/>
      <c r="N22" s="6"/>
      <c r="O22" s="6"/>
      <c r="P22" s="6"/>
      <c r="Q22" s="6"/>
      <c r="R22" s="6"/>
      <c r="S22" s="6"/>
    </row>
    <row r="23" spans="4:19" ht="16.5" customHeight="1">
      <c r="D23" s="9">
        <v>1</v>
      </c>
      <c r="E23" s="52" t="s">
        <v>14</v>
      </c>
      <c r="F23" s="52"/>
      <c r="G23" s="52"/>
      <c r="H23" s="52"/>
      <c r="I23" s="52"/>
      <c r="J23" s="52"/>
      <c r="K23" s="15">
        <f>FV($L$18,$D$23*12,$L$16*-1)</f>
        <v>1282.4552015215484</v>
      </c>
      <c r="L23" s="16">
        <f>K23*L10</f>
        <v>15.389462418258582</v>
      </c>
      <c r="M23" s="8"/>
      <c r="N23" s="6"/>
      <c r="O23" s="6"/>
      <c r="P23" s="6"/>
      <c r="Q23" s="6"/>
      <c r="R23" s="6"/>
      <c r="S23" s="6"/>
    </row>
    <row r="24" spans="4:19" ht="16.5">
      <c r="D24" s="9">
        <v>2</v>
      </c>
      <c r="E24" s="52" t="s">
        <v>15</v>
      </c>
      <c r="F24" s="52"/>
      <c r="G24" s="52"/>
      <c r="H24" s="52"/>
      <c r="I24" s="52"/>
      <c r="J24" s="52"/>
      <c r="K24" s="17">
        <f>FV($L$18,D24*12,$L$16*-1)</f>
        <v>2762.2733643122601</v>
      </c>
      <c r="L24" s="18">
        <f>K24*L10</f>
        <v>33.147280371747122</v>
      </c>
      <c r="N24" s="1"/>
    </row>
    <row r="25" spans="4:19" ht="16.5">
      <c r="D25" s="9">
        <v>3</v>
      </c>
      <c r="E25" s="52" t="s">
        <v>16</v>
      </c>
      <c r="F25" s="52"/>
      <c r="G25" s="52"/>
      <c r="H25" s="52"/>
      <c r="I25" s="52"/>
      <c r="J25" s="52"/>
      <c r="K25" s="17">
        <f>FV($L$18,D25*12,$L$16*-1)</f>
        <v>4469.8275871242122</v>
      </c>
      <c r="L25" s="18">
        <f>K25*L10</f>
        <v>53.637931045490546</v>
      </c>
    </row>
    <row r="26" spans="4:19" ht="16.5">
      <c r="D26" s="9">
        <v>5</v>
      </c>
      <c r="E26" s="52" t="s">
        <v>17</v>
      </c>
      <c r="F26" s="52"/>
      <c r="G26" s="52"/>
      <c r="H26" s="52"/>
      <c r="I26" s="52"/>
      <c r="J26" s="52"/>
      <c r="K26" s="17">
        <f>FV($L$18,D26*12,$L$16*-1)</f>
        <v>8713.727233874235</v>
      </c>
      <c r="L26" s="18">
        <f>K26*L10</f>
        <v>104.56472680649082</v>
      </c>
    </row>
    <row r="27" spans="4:19" ht="16.5">
      <c r="D27" s="9">
        <v>10</v>
      </c>
      <c r="E27" s="52" t="s">
        <v>18</v>
      </c>
      <c r="F27" s="52"/>
      <c r="G27" s="52"/>
      <c r="H27" s="52"/>
      <c r="I27" s="52"/>
      <c r="J27" s="52"/>
      <c r="K27" s="17">
        <f>FV($L$18,D27*12,$L$16*-1)</f>
        <v>26538.93954451185</v>
      </c>
      <c r="L27" s="18">
        <f>K27*L10</f>
        <v>318.46727453414218</v>
      </c>
    </row>
    <row r="28" spans="4:19" ht="16.5">
      <c r="D28" s="9">
        <v>20</v>
      </c>
      <c r="E28" s="52" t="s">
        <v>19</v>
      </c>
      <c r="F28" s="52"/>
      <c r="G28" s="52"/>
      <c r="H28" s="52"/>
      <c r="I28" s="52"/>
      <c r="J28" s="52"/>
      <c r="K28" s="17">
        <f>FV($L$18,D28*12,$L$16*-1)</f>
        <v>137595.71654669434</v>
      </c>
      <c r="L28" s="18">
        <f>K28*L10</f>
        <v>1651.1485985603322</v>
      </c>
    </row>
    <row r="31" spans="4:19">
      <c r="E31" s="48" t="s">
        <v>20</v>
      </c>
      <c r="F31" s="48"/>
      <c r="G31" s="48"/>
      <c r="H31" s="48"/>
      <c r="I31" s="48"/>
      <c r="J31" s="48"/>
      <c r="K31" s="48"/>
      <c r="L31" s="48"/>
    </row>
    <row r="32" spans="4:19">
      <c r="E32" s="48"/>
      <c r="F32" s="48"/>
      <c r="G32" s="48"/>
      <c r="H32" s="48"/>
      <c r="I32" s="48"/>
      <c r="J32" s="48"/>
      <c r="K32" s="48"/>
      <c r="L32" s="48"/>
    </row>
    <row r="33" spans="5:13">
      <c r="E33" s="49" t="s">
        <v>21</v>
      </c>
      <c r="F33" s="49"/>
      <c r="G33" s="49"/>
      <c r="H33" s="46" t="s">
        <v>22</v>
      </c>
      <c r="I33" s="46"/>
      <c r="J33" s="47"/>
      <c r="K33" s="50">
        <f>IF(ISNUMBER(FIND("5%",H33)),1,
IF(ISNUMBER(FIND("10%",H33)),3,
IF(ISNUMBER(FIND("20%",H33)),5,
0)))</f>
        <v>3</v>
      </c>
      <c r="L33" s="51"/>
    </row>
    <row r="34" spans="5:13">
      <c r="E34" s="37" t="s">
        <v>23</v>
      </c>
      <c r="F34" s="37"/>
      <c r="G34" s="37"/>
      <c r="H34" s="46" t="s">
        <v>24</v>
      </c>
      <c r="I34" s="46"/>
      <c r="J34" s="47"/>
      <c r="K34" s="39">
        <f>IF(ISNUMBER(FIND("1",H34)),1,
IF(ISNUMBER(FIND("2",H34)),3,
IF(ISNUMBER(FIND("3",H34)),5,)))</f>
        <v>5</v>
      </c>
      <c r="L34" s="40"/>
    </row>
    <row r="35" spans="5:13" ht="19.5">
      <c r="E35" s="37" t="s">
        <v>25</v>
      </c>
      <c r="F35" s="37"/>
      <c r="G35" s="37"/>
      <c r="H35" s="46" t="s">
        <v>26</v>
      </c>
      <c r="I35" s="46"/>
      <c r="J35" s="46"/>
      <c r="K35" s="38">
        <f>IF(ISNUMBER(FIND("1",H35)),1,
IF(ISNUMBER(FIND("2",H35)),3,
IF(ISNUMBER(FIND("3",H35)),5,)))</f>
        <v>3</v>
      </c>
      <c r="L35" s="38"/>
      <c r="M35" s="2"/>
    </row>
    <row r="36" spans="5:13">
      <c r="E36" s="37" t="s">
        <v>27</v>
      </c>
      <c r="F36" s="37"/>
      <c r="G36" s="37"/>
      <c r="H36" s="46" t="s">
        <v>28</v>
      </c>
      <c r="I36" s="46"/>
      <c r="J36" s="47"/>
      <c r="K36" s="41">
        <f>IF(ISNUMBER(FIND("Menos",H36)),1,
IF(ISNUMBER(FIND("De",H36)),3,
IF(ISNUMBER(FIND("Mais",H36)),5,)))</f>
        <v>1</v>
      </c>
      <c r="L36" s="42"/>
    </row>
    <row r="37" spans="5:13">
      <c r="E37" s="37" t="s">
        <v>29</v>
      </c>
      <c r="F37" s="37"/>
      <c r="G37" s="21" t="str">
        <f>IF(L37&lt;8,"CONSERVADOR",IF(L37&lt;15,"MODERADO","AGRESSIVO"))</f>
        <v>MODERADO</v>
      </c>
      <c r="H37" s="43" t="s">
        <v>30</v>
      </c>
      <c r="I37" s="44"/>
      <c r="J37" s="45"/>
      <c r="K37" s="23" t="s">
        <v>31</v>
      </c>
      <c r="L37" s="22">
        <f>SUM(K33,K34,K35,K36)</f>
        <v>12</v>
      </c>
    </row>
    <row r="38" spans="5:13" ht="15.75">
      <c r="F38" s="34" t="s">
        <v>32</v>
      </c>
      <c r="G38" s="34"/>
      <c r="H38" s="34"/>
      <c r="I38" s="34"/>
      <c r="J38" s="34"/>
      <c r="K38" s="34"/>
      <c r="L38" s="34"/>
    </row>
    <row r="40" spans="5:13">
      <c r="F40" s="33" t="s">
        <v>33</v>
      </c>
      <c r="G40" s="33"/>
      <c r="H40" s="30">
        <v>500</v>
      </c>
      <c r="I40" s="26"/>
    </row>
    <row r="41" spans="5:13">
      <c r="F41" s="35"/>
      <c r="G41" s="36"/>
      <c r="H41" s="26"/>
      <c r="I41" s="27"/>
    </row>
    <row r="42" spans="5:13">
      <c r="F42" s="31" t="s">
        <v>34</v>
      </c>
      <c r="G42" s="31"/>
      <c r="H42" s="26" t="s">
        <v>35</v>
      </c>
      <c r="I42" s="26" t="s">
        <v>36</v>
      </c>
    </row>
    <row r="43" spans="5:13">
      <c r="F43" s="32" t="s">
        <v>37</v>
      </c>
      <c r="G43" s="32"/>
      <c r="H43" s="26" t="s">
        <v>38</v>
      </c>
      <c r="I43" s="28">
        <f>30%*$H$40</f>
        <v>150</v>
      </c>
    </row>
    <row r="44" spans="5:13">
      <c r="F44" s="31" t="s">
        <v>37</v>
      </c>
      <c r="G44" s="31"/>
      <c r="H44" s="26" t="s">
        <v>39</v>
      </c>
      <c r="I44" s="29">
        <f>50%*$H$40</f>
        <v>250</v>
      </c>
    </row>
    <row r="45" spans="5:13">
      <c r="F45" s="31" t="s">
        <v>37</v>
      </c>
      <c r="G45" s="31"/>
      <c r="H45" s="26" t="s">
        <v>40</v>
      </c>
      <c r="I45" s="29">
        <f>10%*$H$40</f>
        <v>50</v>
      </c>
    </row>
    <row r="46" spans="5:13">
      <c r="F46" s="31" t="s">
        <v>37</v>
      </c>
      <c r="G46" s="31"/>
      <c r="H46" s="26" t="s">
        <v>41</v>
      </c>
      <c r="I46" s="29">
        <f>10%*$H$40</f>
        <v>50</v>
      </c>
    </row>
    <row r="47" spans="5:13">
      <c r="F47" s="31" t="s">
        <v>37</v>
      </c>
      <c r="G47" s="31"/>
      <c r="H47" s="26" t="s">
        <v>42</v>
      </c>
      <c r="I47" s="29">
        <v>0</v>
      </c>
    </row>
    <row r="48" spans="5:13">
      <c r="F48" s="31" t="s">
        <v>37</v>
      </c>
      <c r="G48" s="31"/>
      <c r="H48" s="26" t="s">
        <v>43</v>
      </c>
      <c r="I48" s="29">
        <v>0</v>
      </c>
    </row>
    <row r="49" spans="6:9">
      <c r="F49" s="31" t="s">
        <v>44</v>
      </c>
      <c r="G49" s="31"/>
      <c r="H49" s="26" t="s">
        <v>38</v>
      </c>
      <c r="I49" s="29">
        <f>32%*$H$40</f>
        <v>160</v>
      </c>
    </row>
    <row r="50" spans="6:9">
      <c r="F50" s="31" t="s">
        <v>44</v>
      </c>
      <c r="G50" s="31"/>
      <c r="H50" s="26" t="s">
        <v>39</v>
      </c>
      <c r="I50" s="29">
        <f>35%*$H$40</f>
        <v>175</v>
      </c>
    </row>
    <row r="51" spans="6:9">
      <c r="F51" s="31" t="s">
        <v>44</v>
      </c>
      <c r="G51" s="31"/>
      <c r="H51" s="26" t="s">
        <v>40</v>
      </c>
      <c r="I51" s="29">
        <f>8%*$H$40</f>
        <v>40</v>
      </c>
    </row>
    <row r="52" spans="6:9">
      <c r="F52" s="31" t="s">
        <v>44</v>
      </c>
      <c r="G52" s="31"/>
      <c r="H52" s="26" t="s">
        <v>41</v>
      </c>
      <c r="I52" s="29">
        <v>0.05</v>
      </c>
    </row>
    <row r="53" spans="6:9">
      <c r="F53" s="31" t="s">
        <v>44</v>
      </c>
      <c r="G53" s="31"/>
      <c r="H53" s="26" t="s">
        <v>42</v>
      </c>
      <c r="I53" s="29">
        <f>10%*$H$40</f>
        <v>50</v>
      </c>
    </row>
    <row r="54" spans="6:9">
      <c r="F54" s="31" t="s">
        <v>44</v>
      </c>
      <c r="G54" s="31"/>
      <c r="H54" s="26" t="s">
        <v>43</v>
      </c>
      <c r="I54" s="29">
        <f>10%*$H$40</f>
        <v>50</v>
      </c>
    </row>
    <row r="55" spans="6:9">
      <c r="F55" s="31" t="s">
        <v>45</v>
      </c>
      <c r="G55" s="31"/>
      <c r="H55" s="26" t="s">
        <v>38</v>
      </c>
      <c r="I55" s="29">
        <f>50%*$H$40</f>
        <v>250</v>
      </c>
    </row>
    <row r="56" spans="6:9">
      <c r="F56" s="31" t="s">
        <v>45</v>
      </c>
      <c r="G56" s="31"/>
      <c r="H56" s="26" t="s">
        <v>39</v>
      </c>
      <c r="I56" s="29">
        <f>10%*$H$40</f>
        <v>50</v>
      </c>
    </row>
    <row r="57" spans="6:9">
      <c r="F57" s="31" t="s">
        <v>45</v>
      </c>
      <c r="G57" s="31"/>
      <c r="H57" s="26" t="s">
        <v>40</v>
      </c>
      <c r="I57" s="29">
        <f>5%*$H$40</f>
        <v>25</v>
      </c>
    </row>
    <row r="58" spans="6:9">
      <c r="F58" s="31" t="s">
        <v>45</v>
      </c>
      <c r="G58" s="31"/>
      <c r="H58" s="26" t="s">
        <v>41</v>
      </c>
      <c r="I58" s="29">
        <f>5%*$H$40</f>
        <v>25</v>
      </c>
    </row>
    <row r="59" spans="6:9">
      <c r="F59" s="31" t="s">
        <v>45</v>
      </c>
      <c r="G59" s="31"/>
      <c r="H59" s="26" t="s">
        <v>42</v>
      </c>
      <c r="I59" s="29">
        <f>20%*$H$40</f>
        <v>100</v>
      </c>
    </row>
    <row r="60" spans="6:9">
      <c r="F60" s="31" t="s">
        <v>45</v>
      </c>
      <c r="G60" s="31"/>
      <c r="H60" s="26" t="s">
        <v>43</v>
      </c>
      <c r="I60" s="29">
        <f>10%*$H$40</f>
        <v>50</v>
      </c>
    </row>
  </sheetData>
  <sheetProtection sheet="1" objects="1" scenarios="1"/>
  <protectedRanges>
    <protectedRange sqref="H40" name="Range1"/>
    <protectedRange sqref="H36:J36" name="Range2"/>
    <protectedRange sqref="H35:J35" name="Range3"/>
    <protectedRange sqref="H34" name="Range4"/>
    <protectedRange sqref="H33" name="Range5"/>
    <protectedRange sqref="L18" name="Range6"/>
    <protectedRange sqref="L17" name="Range7"/>
    <protectedRange sqref="L16" name="Range8"/>
    <protectedRange sqref="L10" name="Range9"/>
    <protectedRange sqref="L9" name="Range10"/>
  </protectedRanges>
  <mergeCells count="57">
    <mergeCell ref="K21:K22"/>
    <mergeCell ref="L21:L22"/>
    <mergeCell ref="E23:J23"/>
    <mergeCell ref="E3:L4"/>
    <mergeCell ref="E9:K9"/>
    <mergeCell ref="E10:K10"/>
    <mergeCell ref="E11:K11"/>
    <mergeCell ref="E8:L8"/>
    <mergeCell ref="E14:L15"/>
    <mergeCell ref="E21:J22"/>
    <mergeCell ref="E16:K16"/>
    <mergeCell ref="E17:K17"/>
    <mergeCell ref="E18:K18"/>
    <mergeCell ref="E19:K19"/>
    <mergeCell ref="E20:K20"/>
    <mergeCell ref="E31:L32"/>
    <mergeCell ref="E33:G33"/>
    <mergeCell ref="H33:J33"/>
    <mergeCell ref="K33:L33"/>
    <mergeCell ref="E24:J24"/>
    <mergeCell ref="E25:J25"/>
    <mergeCell ref="E26:J26"/>
    <mergeCell ref="E27:J27"/>
    <mergeCell ref="E28:J28"/>
    <mergeCell ref="K35:L35"/>
    <mergeCell ref="K34:L34"/>
    <mergeCell ref="K36:L36"/>
    <mergeCell ref="H37:J37"/>
    <mergeCell ref="E36:G36"/>
    <mergeCell ref="H36:J36"/>
    <mergeCell ref="E34:G34"/>
    <mergeCell ref="H34:J34"/>
    <mergeCell ref="E35:G35"/>
    <mergeCell ref="H35:J35"/>
    <mergeCell ref="F40:G40"/>
    <mergeCell ref="F38:L38"/>
    <mergeCell ref="F42:G42"/>
    <mergeCell ref="F41:G41"/>
    <mergeCell ref="E37:F37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8:G58"/>
    <mergeCell ref="F59:G59"/>
    <mergeCell ref="F60:G60"/>
    <mergeCell ref="F53:G53"/>
    <mergeCell ref="F54:G54"/>
    <mergeCell ref="F55:G55"/>
    <mergeCell ref="F56:G56"/>
    <mergeCell ref="F57:G57"/>
  </mergeCells>
  <conditionalFormatting sqref="G37">
    <cfRule type="containsText" dxfId="8" priority="9" operator="containsText" text="CONSERVADOR">
      <formula>NOT(ISERROR(SEARCH("CONSERVADOR",G37)))</formula>
    </cfRule>
  </conditionalFormatting>
  <conditionalFormatting sqref="G37">
    <cfRule type="containsText" dxfId="7" priority="8" operator="containsText" text="MODERADO">
      <formula>NOT(ISERROR(SEARCH("MODERADO",G37)))</formula>
    </cfRule>
  </conditionalFormatting>
  <conditionalFormatting sqref="G37">
    <cfRule type="containsText" dxfId="6" priority="7" operator="containsText" text="AGRESSIVO">
      <formula>NOT(ISERROR(SEARCH("AGRESSIVO",G37)))</formula>
    </cfRule>
  </conditionalFormatting>
  <conditionalFormatting sqref="L37">
    <cfRule type="cellIs" dxfId="5" priority="6" operator="lessThanOrEqual">
      <formula>8</formula>
    </cfRule>
  </conditionalFormatting>
  <conditionalFormatting sqref="L37">
    <cfRule type="cellIs" dxfId="4" priority="5" operator="between">
      <formula>8</formula>
      <formula>14</formula>
    </cfRule>
  </conditionalFormatting>
  <conditionalFormatting sqref="L37">
    <cfRule type="cellIs" dxfId="3" priority="4" operator="greaterThanOrEqual">
      <formula>15</formula>
    </cfRule>
  </conditionalFormatting>
  <conditionalFormatting sqref="H43:I48 F43:F48">
    <cfRule type="expression" dxfId="2" priority="3">
      <formula>$G$37="CONSERVADOR"</formula>
    </cfRule>
  </conditionalFormatting>
  <conditionalFormatting sqref="H49:I54 F49:F54">
    <cfRule type="expression" dxfId="1" priority="2">
      <formula>$G$37="MODERADO"</formula>
    </cfRule>
  </conditionalFormatting>
  <conditionalFormatting sqref="H55:I60 F55:F60">
    <cfRule type="expression" dxfId="0" priority="1">
      <formula>$G$37="agressivo"</formula>
    </cfRule>
  </conditionalFormatting>
  <dataValidations count="4">
    <dataValidation type="list" allowBlank="1" showInputMessage="1" showErrorMessage="1" promptTitle="responda aqui!" sqref="H33:J33" xr:uid="{49E1A3F5-4605-4DCA-A05A-C8312E191A09}">
      <formula1>"entro em pânico se cair 5%,aceito cair 10%,aceito cair 20% ou mais..."</formula1>
    </dataValidation>
    <dataValidation type="list" allowBlank="1" showInputMessage="1" showErrorMessage="1" sqref="H34:J34" xr:uid="{59E97D17-1803-4780-B3F4-6C1AE971DE28}">
      <formula1>"1 Apenas Dividendos,2 Dividendos+Valorização,3 ganho de Capital rápido"</formula1>
    </dataValidation>
    <dataValidation type="list" allowBlank="1" showInputMessage="1" showErrorMessage="1" sqref="H35:J35" xr:uid="{E1C9CDA9-ACD3-49D4-B096-450174D38A71}">
      <formula1>"1 Fundos tijolo( prédios),2 Híbridos, 3 Fundos de papel(crédito/alto rendimento)"</formula1>
    </dataValidation>
    <dataValidation type="list" allowBlank="1" showInputMessage="1" showErrorMessage="1" sqref="H36:J36" xr:uid="{7CC9D40C-A13C-4C85-A6E1-087AE598543E}">
      <formula1>"Menos de 2 anos,De 2 a 5 anos,Mais de 5 anos"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2026-02-04T01:45:42Z</dcterms:created>
  <dcterms:modified xsi:type="dcterms:W3CDTF">2026-02-16T02:01:41Z</dcterms:modified>
  <cp:category/>
  <cp:contentStatus/>
</cp:coreProperties>
</file>